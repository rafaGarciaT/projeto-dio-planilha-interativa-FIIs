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cadventista-my.sharepoint.com/personal/rafael_garcia_educadventista_org/Documents/"/>
    </mc:Choice>
  </mc:AlternateContent>
  <xr:revisionPtr revIDLastSave="458" documentId="8_{F225B35B-8E70-4523-A8B1-573197FD46AC}" xr6:coauthVersionLast="47" xr6:coauthVersionMax="47" xr10:uidLastSave="{7BF3B985-CE9E-422E-BBAB-8CE70D5755EF}"/>
  <bookViews>
    <workbookView xWindow="6270" yWindow="3585" windowWidth="38700" windowHeight="15345" xr2:uid="{97DE1590-492C-4814-9651-8C0364570A6C}"/>
  </bookViews>
  <sheets>
    <sheet name="Planilha1" sheetId="1" r:id="rId1"/>
    <sheet name="Planilha Auxiliar" sheetId="2" r:id="rId2"/>
  </sheets>
  <definedNames>
    <definedName name="aporte">Planilha1!$D$15</definedName>
    <definedName name="qtde_anos">Planilha1!$D$16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M6" i="1" s="1"/>
  <c r="L7" i="1"/>
  <c r="M7" i="1" s="1"/>
  <c r="L8" i="1"/>
  <c r="M8" i="1" s="1"/>
  <c r="L9" i="1"/>
  <c r="M9" i="1" s="1"/>
  <c r="L10" i="1"/>
  <c r="M10" i="1" s="1"/>
  <c r="L5" i="1"/>
  <c r="M5" i="1" s="1"/>
  <c r="D7" i="1"/>
  <c r="J6" i="1"/>
  <c r="J7" i="1"/>
  <c r="J8" i="1"/>
  <c r="K8" i="1" s="1"/>
  <c r="J9" i="1"/>
  <c r="K9" i="1" s="1"/>
  <c r="J10" i="1"/>
  <c r="K10" i="1" s="1"/>
  <c r="J5" i="1"/>
  <c r="K5" i="1" s="1"/>
  <c r="A8" i="2"/>
  <c r="A9" i="2"/>
  <c r="A10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2" i="2"/>
  <c r="D18" i="1"/>
  <c r="D19" i="1" s="1"/>
  <c r="J16" i="1"/>
  <c r="K16" i="1" s="1"/>
  <c r="J17" i="1"/>
  <c r="K17" i="1" s="1"/>
  <c r="J18" i="1"/>
  <c r="K18" i="1" s="1"/>
  <c r="J19" i="1"/>
  <c r="K19" i="1" s="1"/>
  <c r="J15" i="1"/>
  <c r="K15" i="1" s="1"/>
  <c r="K7" i="1" l="1"/>
  <c r="K6" i="1"/>
</calcChain>
</file>

<file path=xl/sharedStrings.xml><?xml version="1.0" encoding="utf-8"?>
<sst xmlns="http://schemas.openxmlformats.org/spreadsheetml/2006/main" count="77" uniqueCount="42">
  <si>
    <t>Quanto investir por mês?</t>
  </si>
  <si>
    <t>Por quantos anos?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</si>
  <si>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</si>
  <si>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</si>
  <si>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</si>
  <si>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</si>
  <si>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</si>
  <si>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</si>
  <si>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</si>
  <si>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</si>
  <si>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Salário</t>
  </si>
  <si>
    <t>Rendimento Carteira</t>
  </si>
  <si>
    <t>Perfil</t>
  </si>
  <si>
    <t>Moderado</t>
  </si>
  <si>
    <t>Conservador</t>
  </si>
  <si>
    <t>TIPO DE FII</t>
  </si>
  <si>
    <t>Papel</t>
  </si>
  <si>
    <t>Tijolo</t>
  </si>
  <si>
    <t>Híbridos</t>
  </si>
  <si>
    <t>FOFs</t>
  </si>
  <si>
    <t>Desenvolvimento</t>
  </si>
  <si>
    <t>Hotelarias</t>
  </si>
  <si>
    <t>Valor a Investir</t>
  </si>
  <si>
    <t>Tipo de FII</t>
  </si>
  <si>
    <t>Agressivo</t>
  </si>
  <si>
    <t>Percentual</t>
  </si>
  <si>
    <t>Chave</t>
  </si>
  <si>
    <t>Projeções</t>
  </si>
  <si>
    <t>Taxa de rendimento mensal?</t>
  </si>
  <si>
    <t>Dividendos</t>
  </si>
  <si>
    <t>Sugerido (%)</t>
  </si>
  <si>
    <t>Porcentagem a Investir</t>
  </si>
  <si>
    <t>Distribuição Sugerida por Perfil</t>
  </si>
  <si>
    <t>Configuração</t>
  </si>
  <si>
    <t>Fundos Registrados</t>
  </si>
  <si>
    <t>Nome</t>
  </si>
  <si>
    <t>Tipo</t>
  </si>
  <si>
    <t>Valor</t>
  </si>
  <si>
    <t>Sugerido (R$)</t>
  </si>
  <si>
    <t>Atual (%)</t>
  </si>
  <si>
    <t>Diferença (%)</t>
  </si>
  <si>
    <t>Planilha De Investimentos em Fundos Imobiliários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</si>
</sst>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0%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Daytona"/>
      <family val="2"/>
    </font>
    <font>
      <sz val="11"/>
      <color theme="1"/>
      <name val="Daytona"/>
      <family val="2"/>
    </font>
    <font>
      <sz val="14"/>
      <color theme="1"/>
      <name val="Daytona"/>
      <family val="2"/>
    </font>
    <font>
      <sz val="12"/>
      <color theme="1"/>
      <name val="Daytona"/>
      <family val="2"/>
    </font>
    <font>
      <sz val="11"/>
      <color theme="0"/>
      <name val="Daytona"/>
      <family val="2"/>
    </font>
    <font>
      <b/>
      <sz val="16"/>
      <color theme="1"/>
      <name val="Daytona"/>
      <family val="2"/>
    </font>
    <font>
      <b/>
      <sz val="22"/>
      <color theme="0"/>
      <name val="Daytona"/>
      <family val="2"/>
    </font>
    <font>
      <b/>
      <sz val="14"/>
      <color theme="0"/>
      <name val="Daytona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theme="0" tint="-0.34998626667073579"/>
      </right>
      <top style="thick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indexed="64"/>
      </right>
      <top style="thick">
        <color indexed="64"/>
      </top>
      <bottom style="thin">
        <color theme="0" tint="-0.34998626667073579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34998626667073579"/>
      </top>
      <bottom style="thick">
        <color indexed="64"/>
      </bottom>
      <diagonal/>
    </border>
    <border>
      <left style="thin">
        <color theme="0" tint="-0.34998626667073579"/>
      </left>
      <right style="thick">
        <color indexed="64"/>
      </right>
      <top style="thin">
        <color theme="0" tint="-0.34998626667073579"/>
      </top>
      <bottom style="thick">
        <color indexed="64"/>
      </bottom>
      <diagonal/>
    </border>
    <border>
      <left style="thick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/>
      <bottom style="thin">
        <color theme="0" tint="-0.24994659260841701"/>
      </bottom>
      <diagonal/>
    </border>
    <border>
      <left style="thick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indexed="64"/>
      </left>
      <right style="thin">
        <color theme="0" tint="-0.24994659260841701"/>
      </right>
      <top style="thin">
        <color theme="0" tint="-0.24994659260841701"/>
      </top>
      <bottom style="thick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ck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9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2" fillId="2" borderId="0" xfId="0" applyFont="1" applyFill="1"/>
    <xf numFmtId="0" fontId="0" fillId="0" borderId="1" xfId="0" applyBorder="1"/>
    <xf numFmtId="9" fontId="0" fillId="0" borderId="1" xfId="0" applyNumberFormat="1" applyBorder="1"/>
    <xf numFmtId="0" fontId="3" fillId="5" borderId="0" xfId="0" applyFont="1" applyFill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5" fillId="0" borderId="7" xfId="0" applyFont="1" applyBorder="1" applyAlignment="1">
      <alignment horizontal="left" indent="1"/>
    </xf>
    <xf numFmtId="6" fontId="6" fillId="0" borderId="8" xfId="0" applyNumberFormat="1" applyFont="1" applyBorder="1" applyAlignment="1">
      <alignment horizontal="left"/>
    </xf>
    <xf numFmtId="9" fontId="6" fillId="0" borderId="8" xfId="0" applyNumberFormat="1" applyFont="1" applyBorder="1" applyAlignment="1">
      <alignment horizontal="left"/>
    </xf>
    <xf numFmtId="166" fontId="6" fillId="0" borderId="8" xfId="0" applyNumberFormat="1" applyFont="1" applyBorder="1" applyAlignment="1">
      <alignment horizontal="left"/>
    </xf>
    <xf numFmtId="164" fontId="6" fillId="0" borderId="8" xfId="1" applyNumberFormat="1" applyFont="1" applyBorder="1" applyAlignment="1">
      <alignment horizontal="left"/>
    </xf>
    <xf numFmtId="0" fontId="5" fillId="0" borderId="9" xfId="0" applyFont="1" applyBorder="1" applyAlignment="1">
      <alignment horizontal="left" indent="1"/>
    </xf>
    <xf numFmtId="0" fontId="6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 indent="1"/>
    </xf>
    <xf numFmtId="164" fontId="6" fillId="0" borderId="12" xfId="0" applyNumberFormat="1" applyFont="1" applyBorder="1" applyAlignment="1">
      <alignment horizontal="center"/>
    </xf>
    <xf numFmtId="0" fontId="5" fillId="0" borderId="13" xfId="0" applyFont="1" applyBorder="1" applyAlignment="1">
      <alignment horizontal="left" indent="1"/>
    </xf>
    <xf numFmtId="0" fontId="6" fillId="0" borderId="14" xfId="0" applyFont="1" applyBorder="1" applyAlignment="1">
      <alignment horizontal="center"/>
    </xf>
    <xf numFmtId="165" fontId="6" fillId="0" borderId="14" xfId="0" applyNumberFormat="1" applyFont="1" applyBorder="1" applyAlignment="1">
      <alignment horizontal="center"/>
    </xf>
    <xf numFmtId="8" fontId="6" fillId="0" borderId="14" xfId="0" applyNumberFormat="1" applyFont="1" applyBorder="1" applyAlignment="1">
      <alignment horizontal="center"/>
    </xf>
    <xf numFmtId="0" fontId="5" fillId="0" borderId="15" xfId="0" applyFont="1" applyBorder="1" applyAlignment="1">
      <alignment horizontal="left" indent="1"/>
    </xf>
    <xf numFmtId="8" fontId="6" fillId="0" borderId="16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9" fontId="6" fillId="0" borderId="18" xfId="0" applyNumberFormat="1" applyFont="1" applyBorder="1" applyAlignment="1">
      <alignment horizontal="center"/>
    </xf>
    <xf numFmtId="8" fontId="6" fillId="0" borderId="17" xfId="0" applyNumberFormat="1" applyFont="1" applyBorder="1" applyAlignment="1">
      <alignment horizontal="left"/>
    </xf>
    <xf numFmtId="8" fontId="6" fillId="0" borderId="12" xfId="0" applyNumberFormat="1" applyFont="1" applyBorder="1" applyAlignment="1">
      <alignment horizontal="left"/>
    </xf>
    <xf numFmtId="8" fontId="6" fillId="0" borderId="18" xfId="0" applyNumberFormat="1" applyFont="1" applyBorder="1" applyAlignment="1">
      <alignment horizontal="left"/>
    </xf>
    <xf numFmtId="8" fontId="6" fillId="0" borderId="14" xfId="0" applyNumberFormat="1" applyFont="1" applyBorder="1" applyAlignment="1">
      <alignment horizontal="left"/>
    </xf>
    <xf numFmtId="8" fontId="6" fillId="0" borderId="19" xfId="0" applyNumberFormat="1" applyFont="1" applyBorder="1" applyAlignment="1">
      <alignment horizontal="left"/>
    </xf>
    <xf numFmtId="8" fontId="6" fillId="0" borderId="16" xfId="0" applyNumberFormat="1" applyFont="1" applyBorder="1" applyAlignment="1">
      <alignment horizontal="left"/>
    </xf>
    <xf numFmtId="0" fontId="5" fillId="0" borderId="20" xfId="0" applyFont="1" applyBorder="1" applyAlignment="1">
      <alignment horizontal="left" indent="1"/>
    </xf>
    <xf numFmtId="0" fontId="5" fillId="0" borderId="21" xfId="0" applyFont="1" applyBorder="1" applyAlignment="1">
      <alignment horizontal="left" indent="1"/>
    </xf>
    <xf numFmtId="8" fontId="6" fillId="0" borderId="22" xfId="0" applyNumberFormat="1" applyFont="1" applyBorder="1" applyAlignment="1">
      <alignment horizontal="left"/>
    </xf>
    <xf numFmtId="8" fontId="6" fillId="0" borderId="23" xfId="0" applyNumberFormat="1" applyFont="1" applyBorder="1" applyAlignment="1">
      <alignment horizontal="left"/>
    </xf>
    <xf numFmtId="0" fontId="5" fillId="0" borderId="24" xfId="0" applyFont="1" applyBorder="1" applyAlignment="1">
      <alignment horizontal="left" indent="1"/>
    </xf>
    <xf numFmtId="8" fontId="6" fillId="0" borderId="25" xfId="0" applyNumberFormat="1" applyFont="1" applyBorder="1" applyAlignment="1">
      <alignment horizontal="left"/>
    </xf>
    <xf numFmtId="8" fontId="6" fillId="0" borderId="26" xfId="0" applyNumberFormat="1" applyFont="1" applyBorder="1" applyAlignment="1">
      <alignment horizontal="left"/>
    </xf>
    <xf numFmtId="0" fontId="8" fillId="0" borderId="18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4" fontId="6" fillId="0" borderId="18" xfId="0" applyNumberFormat="1" applyFont="1" applyBorder="1" applyAlignment="1">
      <alignment horizontal="left"/>
    </xf>
    <xf numFmtId="10" fontId="6" fillId="0" borderId="31" xfId="0" applyNumberFormat="1" applyFont="1" applyBorder="1" applyAlignment="1">
      <alignment horizontal="left"/>
    </xf>
    <xf numFmtId="0" fontId="5" fillId="0" borderId="32" xfId="0" applyFont="1" applyBorder="1" applyAlignment="1">
      <alignment horizontal="center"/>
    </xf>
    <xf numFmtId="9" fontId="6" fillId="0" borderId="33" xfId="0" applyNumberFormat="1" applyFont="1" applyBorder="1" applyAlignment="1">
      <alignment horizontal="center"/>
    </xf>
    <xf numFmtId="164" fontId="6" fillId="0" borderId="33" xfId="0" applyNumberFormat="1" applyFont="1" applyBorder="1" applyAlignment="1">
      <alignment horizontal="left"/>
    </xf>
    <xf numFmtId="10" fontId="6" fillId="0" borderId="34" xfId="0" applyNumberFormat="1" applyFont="1" applyBorder="1" applyAlignment="1">
      <alignment horizontal="left"/>
    </xf>
    <xf numFmtId="0" fontId="9" fillId="4" borderId="35" xfId="0" applyFont="1" applyFill="1" applyBorder="1" applyAlignment="1">
      <alignment horizontal="center"/>
    </xf>
    <xf numFmtId="0" fontId="9" fillId="4" borderId="36" xfId="0" applyFont="1" applyFill="1" applyBorder="1" applyAlignment="1">
      <alignment horizontal="center"/>
    </xf>
    <xf numFmtId="0" fontId="9" fillId="4" borderId="37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/>
    </xf>
    <xf numFmtId="0" fontId="9" fillId="4" borderId="29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4" fillId="6" borderId="0" xfId="0" applyFont="1" applyFill="1"/>
    <xf numFmtId="0" fontId="0" fillId="6" borderId="0" xfId="0" applyFill="1"/>
    <xf numFmtId="0" fontId="9" fillId="6" borderId="0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ytona"/>
        <family val="2"/>
        <scheme val="none"/>
      </font>
      <numFmt numFmtId="12" formatCode="&quot;R$&quot;\ #,##0.00;[Red]\-&quot;R$&quot;\ #,##0.00"/>
      <alignment horizontal="left" vertical="bottom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ytona"/>
        <family val="2"/>
        <scheme val="none"/>
      </font>
      <numFmt numFmtId="12" formatCode="&quot;R$&quot;\ #,##0.00;[Red]\-&quot;R$&quot;\ #,##0.00"/>
      <alignment horizontal="left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aytona"/>
        <family val="2"/>
        <scheme val="none"/>
      </font>
      <alignment horizontal="left" vertical="bottom" textRotation="0" wrapText="0" indent="1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thin">
          <color theme="0" tint="-0.24994659260841701"/>
        </top>
        <bottom style="medium">
          <color indexed="64"/>
        </bottom>
      </border>
    </dxf>
    <dxf>
      <border outline="0"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Dayto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1C21B7-5D39-4A23-8018-16A8F3A80109}" name="Tabela4" displayName="Tabela4" ref="I24:K29" totalsRowShown="0" headerRowDxfId="5" headerRowBorderDxfId="4" tableBorderDxfId="3">
  <autoFilter ref="I24:K29" xr:uid="{251C21B7-5D39-4A23-8018-16A8F3A80109}"/>
  <tableColumns count="3">
    <tableColumn id="1" xr3:uid="{573554BA-E1A7-46B3-93B0-1395DCCF292F}" name="Nome" dataDxfId="2"/>
    <tableColumn id="2" xr3:uid="{944B710A-3D75-43AA-BB62-FC93B6DFF3B1}" name="Tipo" dataDxfId="1"/>
    <tableColumn id="3" xr3:uid="{240C6339-044E-47BF-BA85-A127B2874EC6}" name="Val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B6BB-F1F4-40D0-82DA-F7B46AC3E394}">
  <dimension ref="A1:N42"/>
  <sheetViews>
    <sheetView showGridLines="0" tabSelected="1" topLeftCell="B1" zoomScaleNormal="100" workbookViewId="0">
      <selection activeCell="Q14" sqref="Q14"/>
    </sheetView>
  </sheetViews>
  <sheetFormatPr defaultRowHeight="15" x14ac:dyDescent="0.25"/>
  <cols>
    <col min="1" max="1" width="5.7109375" customWidth="1"/>
    <col min="2" max="2" width="9.28515625" bestFit="1" customWidth="1"/>
    <col min="3" max="3" width="46.7109375" bestFit="1" customWidth="1"/>
    <col min="4" max="4" width="22.140625" customWidth="1"/>
    <col min="5" max="5" width="4.42578125" customWidth="1"/>
    <col min="6" max="8" width="9.140625" hidden="1" customWidth="1"/>
    <col min="9" max="9" width="37" bestFit="1" customWidth="1"/>
    <col min="10" max="10" width="21.42578125" bestFit="1" customWidth="1"/>
    <col min="11" max="11" width="22.85546875" bestFit="1" customWidth="1"/>
    <col min="12" max="12" width="16" bestFit="1" customWidth="1"/>
    <col min="13" max="13" width="22.5703125" bestFit="1" customWidth="1"/>
  </cols>
  <sheetData>
    <row r="1" spans="1:14" s="65" customFormat="1" ht="48" customHeight="1" x14ac:dyDescent="0.6">
      <c r="A1" s="64"/>
      <c r="B1" s="64"/>
      <c r="C1" s="66" t="s">
        <v>41</v>
      </c>
      <c r="D1" s="66"/>
      <c r="E1" s="66"/>
      <c r="F1" s="66"/>
      <c r="G1" s="66"/>
      <c r="H1" s="66"/>
      <c r="I1" s="66"/>
      <c r="J1" s="64"/>
      <c r="K1" s="64"/>
      <c r="L1" s="64"/>
      <c r="M1" s="64"/>
      <c r="N1" s="64"/>
    </row>
    <row r="2" spans="1:14" ht="18" thickBo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2.25" thickTop="1" x14ac:dyDescent="0.6">
      <c r="A3" s="2"/>
      <c r="B3" s="2"/>
      <c r="C3" s="61" t="s">
        <v>33</v>
      </c>
      <c r="D3" s="62"/>
      <c r="E3" s="9"/>
      <c r="F3" s="2"/>
      <c r="G3" s="2"/>
      <c r="H3" s="2"/>
      <c r="I3" s="56" t="s">
        <v>32</v>
      </c>
      <c r="J3" s="57"/>
      <c r="K3" s="57"/>
      <c r="L3" s="57"/>
      <c r="M3" s="58"/>
      <c r="N3" s="2"/>
    </row>
    <row r="4" spans="1:14" ht="23.25" x14ac:dyDescent="0.45">
      <c r="A4" s="2"/>
      <c r="B4" s="2"/>
      <c r="C4" s="11" t="s">
        <v>10</v>
      </c>
      <c r="D4" s="12">
        <v>1000</v>
      </c>
      <c r="E4" s="2"/>
      <c r="F4" s="2"/>
      <c r="G4" s="2"/>
      <c r="H4" s="2"/>
      <c r="I4" s="42" t="s">
        <v>15</v>
      </c>
      <c r="J4" s="41" t="s">
        <v>30</v>
      </c>
      <c r="K4" s="41" t="s">
        <v>38</v>
      </c>
      <c r="L4" s="41" t="s">
        <v>39</v>
      </c>
      <c r="M4" s="43" t="s">
        <v>40</v>
      </c>
      <c r="N4" s="2"/>
    </row>
    <row r="5" spans="1:14" ht="21.75" x14ac:dyDescent="0.45">
      <c r="A5" s="2"/>
      <c r="B5" s="2"/>
      <c r="C5" s="11" t="s">
        <v>31</v>
      </c>
      <c r="D5" s="13">
        <v>0.3</v>
      </c>
      <c r="E5" s="2"/>
      <c r="F5" s="2"/>
      <c r="G5" s="2"/>
      <c r="H5" s="2"/>
      <c r="I5" s="46" t="s">
        <v>16</v>
      </c>
      <c r="J5" s="27">
        <f>VLOOKUP($D$8&amp;"-"&amp;I5,'Planilha Auxiliar'!A1:D19,4,FALSE)</f>
        <v>0.5</v>
      </c>
      <c r="K5" s="47">
        <f t="shared" ref="K5:K10" si="0">$D$7*J5</f>
        <v>150</v>
      </c>
      <c r="L5" s="27">
        <f>SUMIF(Tabela4[Tipo], $I5, Tabela4[Valor]) / $D$7</f>
        <v>0</v>
      </c>
      <c r="M5" s="48">
        <f>L5-J5</f>
        <v>-0.5</v>
      </c>
      <c r="N5" s="2"/>
    </row>
    <row r="6" spans="1:14" ht="21.75" x14ac:dyDescent="0.45">
      <c r="A6" s="2"/>
      <c r="B6" s="2"/>
      <c r="C6" s="11" t="s">
        <v>11</v>
      </c>
      <c r="D6" s="14">
        <v>6.0000000000000001E-3</v>
      </c>
      <c r="E6" s="2"/>
      <c r="F6" s="2"/>
      <c r="G6" s="2"/>
      <c r="H6" s="2"/>
      <c r="I6" s="46" t="s">
        <v>17</v>
      </c>
      <c r="J6" s="27">
        <f>VLOOKUP($D$8&amp;"-"&amp;I6,'Planilha Auxiliar'!A2:D20,4,FALSE)</f>
        <v>0.3</v>
      </c>
      <c r="K6" s="47">
        <f t="shared" si="0"/>
        <v>90</v>
      </c>
      <c r="L6" s="27">
        <f>SUMIF(Tabela4[Tipo], $I6, Tabela4[Valor]) / $D$7</f>
        <v>0</v>
      </c>
      <c r="M6" s="48">
        <f t="shared" ref="M6:M10" si="1">L6-J6</f>
        <v>-0.3</v>
      </c>
      <c r="N6" s="2"/>
    </row>
    <row r="7" spans="1:14" ht="21.75" x14ac:dyDescent="0.45">
      <c r="A7" s="2"/>
      <c r="B7" s="2"/>
      <c r="C7" s="11" t="s">
        <v>22</v>
      </c>
      <c r="D7" s="15">
        <f>D4*D5</f>
        <v>300</v>
      </c>
      <c r="E7" s="2"/>
      <c r="F7" s="2"/>
      <c r="G7" s="2"/>
      <c r="H7" s="2"/>
      <c r="I7" s="46" t="s">
        <v>18</v>
      </c>
      <c r="J7" s="27">
        <f>VLOOKUP($D$8&amp;"-"&amp;I7,'Planilha Auxiliar'!A3:D21,4,FALSE)</f>
        <v>0.1</v>
      </c>
      <c r="K7" s="47">
        <f t="shared" si="0"/>
        <v>30</v>
      </c>
      <c r="L7" s="27">
        <f>SUMIF(Tabela4[Tipo], $I7, Tabela4[Valor]) / $D$7</f>
        <v>0</v>
      </c>
      <c r="M7" s="48">
        <f t="shared" si="1"/>
        <v>-0.1</v>
      </c>
      <c r="N7" s="2"/>
    </row>
    <row r="8" spans="1:14" ht="22.5" thickBot="1" x14ac:dyDescent="0.5">
      <c r="A8" s="2"/>
      <c r="B8" s="2"/>
      <c r="C8" s="16" t="s">
        <v>12</v>
      </c>
      <c r="D8" s="17" t="s">
        <v>14</v>
      </c>
      <c r="E8" s="2"/>
      <c r="F8" s="2"/>
      <c r="G8" s="2"/>
      <c r="H8" s="2"/>
      <c r="I8" s="46" t="s">
        <v>19</v>
      </c>
      <c r="J8" s="27">
        <f>VLOOKUP($D$8&amp;"-"&amp;I8,'Planilha Auxiliar'!A4:D22,4,FALSE)</f>
        <v>0.1</v>
      </c>
      <c r="K8" s="47">
        <f t="shared" si="0"/>
        <v>30</v>
      </c>
      <c r="L8" s="27">
        <f>SUMIF(Tabela4[Tipo], $I8, Tabela4[Valor]) / $D$7</f>
        <v>0</v>
      </c>
      <c r="M8" s="48">
        <f t="shared" si="1"/>
        <v>-0.1</v>
      </c>
      <c r="N8" s="2"/>
    </row>
    <row r="9" spans="1:14" ht="22.5" thickTop="1" x14ac:dyDescent="0.45">
      <c r="A9" s="2"/>
      <c r="B9" s="2"/>
      <c r="E9" s="2"/>
      <c r="F9" s="2"/>
      <c r="G9" s="2"/>
      <c r="H9" s="2"/>
      <c r="I9" s="46" t="s">
        <v>20</v>
      </c>
      <c r="J9" s="27">
        <f>VLOOKUP($D$8&amp;"-"&amp;I9,'Planilha Auxiliar'!A5:D23,4,FALSE)</f>
        <v>0</v>
      </c>
      <c r="K9" s="47">
        <f t="shared" si="0"/>
        <v>0</v>
      </c>
      <c r="L9" s="27">
        <f>SUMIF(Tabela4[Tipo], $I9, Tabela4[Valor]) / $D$7</f>
        <v>0</v>
      </c>
      <c r="M9" s="48">
        <f t="shared" si="1"/>
        <v>0</v>
      </c>
      <c r="N9" s="2"/>
    </row>
    <row r="10" spans="1:14" ht="22.5" thickBot="1" x14ac:dyDescent="0.5">
      <c r="A10" s="2"/>
      <c r="B10" s="2"/>
      <c r="C10" s="2"/>
      <c r="D10" s="2"/>
      <c r="E10" s="2"/>
      <c r="F10" s="2"/>
      <c r="G10" s="2"/>
      <c r="H10" s="2"/>
      <c r="I10" s="49" t="s">
        <v>21</v>
      </c>
      <c r="J10" s="50">
        <f>VLOOKUP($D$8&amp;"-"&amp;I10,'Planilha Auxiliar'!A6:D24,4,FALSE)</f>
        <v>0</v>
      </c>
      <c r="K10" s="51">
        <f t="shared" si="0"/>
        <v>0</v>
      </c>
      <c r="L10" s="50">
        <f>SUMIF(Tabela4[Tipo], $I10, Tabela4[Valor]) / $D$7</f>
        <v>0</v>
      </c>
      <c r="M10" s="52">
        <f t="shared" si="1"/>
        <v>0</v>
      </c>
      <c r="N10" s="2"/>
    </row>
    <row r="11" spans="1:14" ht="18.75" x14ac:dyDescent="0.4">
      <c r="A11" s="2"/>
      <c r="B11" s="2"/>
      <c r="C11" s="2"/>
      <c r="D11" s="2"/>
      <c r="E11" s="2"/>
      <c r="F11" s="2"/>
      <c r="G11" s="2"/>
      <c r="H11" s="2"/>
      <c r="I11" s="2"/>
      <c r="J11" s="4"/>
      <c r="K11" s="5"/>
      <c r="L11" s="2"/>
      <c r="M11" s="2"/>
      <c r="N11" s="2"/>
    </row>
    <row r="12" spans="1:14" ht="17.2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8" thickBo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32.25" thickTop="1" x14ac:dyDescent="0.6">
      <c r="A14" s="2"/>
      <c r="B14" s="2"/>
      <c r="C14" s="59" t="s">
        <v>4</v>
      </c>
      <c r="D14" s="60"/>
      <c r="E14" s="2"/>
      <c r="F14" s="2"/>
      <c r="G14" s="2"/>
      <c r="H14" s="2"/>
      <c r="I14" s="59" t="s">
        <v>27</v>
      </c>
      <c r="J14" s="63"/>
      <c r="K14" s="10" t="s">
        <v>29</v>
      </c>
      <c r="L14" s="2"/>
      <c r="M14" s="2"/>
      <c r="N14" s="2"/>
    </row>
    <row r="15" spans="1:14" ht="21.75" x14ac:dyDescent="0.45">
      <c r="A15" s="2"/>
      <c r="B15" s="2"/>
      <c r="C15" s="18" t="s">
        <v>0</v>
      </c>
      <c r="D15" s="19">
        <v>1260</v>
      </c>
      <c r="E15" s="2"/>
      <c r="F15" s="2"/>
      <c r="G15" s="2"/>
      <c r="H15" s="2"/>
      <c r="I15" s="18" t="s">
        <v>5</v>
      </c>
      <c r="J15" s="28">
        <f>FV($D$17,$B23*12,$D$15*-1)</f>
        <v>34306.810395032975</v>
      </c>
      <c r="K15" s="29">
        <f>J15*$D$6</f>
        <v>205.84086237019787</v>
      </c>
      <c r="L15" s="2"/>
      <c r="M15" s="2"/>
      <c r="N15" s="2"/>
    </row>
    <row r="16" spans="1:14" ht="21.75" x14ac:dyDescent="0.45">
      <c r="A16" s="2"/>
      <c r="B16" s="2"/>
      <c r="C16" s="20" t="s">
        <v>1</v>
      </c>
      <c r="D16" s="21">
        <v>10</v>
      </c>
      <c r="E16" s="2"/>
      <c r="F16" s="2"/>
      <c r="G16" s="2"/>
      <c r="H16" s="2"/>
      <c r="I16" s="20" t="s">
        <v>6</v>
      </c>
      <c r="J16" s="30">
        <f>FV($D$17,$B24*12,$D$15*-1)</f>
        <v>105558.91163809443</v>
      </c>
      <c r="K16" s="31">
        <f>J16*$D$6</f>
        <v>633.35346982856663</v>
      </c>
      <c r="L16" s="2"/>
      <c r="M16" s="2"/>
      <c r="N16" s="2"/>
    </row>
    <row r="17" spans="1:14" ht="21.75" x14ac:dyDescent="0.45">
      <c r="A17" s="2"/>
      <c r="B17" s="2"/>
      <c r="C17" s="20" t="s">
        <v>28</v>
      </c>
      <c r="D17" s="22">
        <v>1.0789999999999999E-2</v>
      </c>
      <c r="E17" s="2"/>
      <c r="F17" s="2"/>
      <c r="G17" s="2"/>
      <c r="H17" s="2"/>
      <c r="I17" s="20" t="s">
        <v>7</v>
      </c>
      <c r="J17" s="30">
        <f>FV($D$17,$B25*12,$D$15*-1)</f>
        <v>306538.10778801696</v>
      </c>
      <c r="K17" s="31">
        <f>J17*$D$6</f>
        <v>1839.2286467281017</v>
      </c>
      <c r="L17" s="2"/>
      <c r="M17" s="2"/>
      <c r="N17" s="2"/>
    </row>
    <row r="18" spans="1:14" ht="21.75" x14ac:dyDescent="0.45">
      <c r="A18" s="2"/>
      <c r="B18" s="2"/>
      <c r="C18" s="20" t="s">
        <v>2</v>
      </c>
      <c r="D18" s="23">
        <f>FV(D17,D16*12,D15*-1)</f>
        <v>306538.10778801696</v>
      </c>
      <c r="E18" s="2"/>
      <c r="F18" s="2"/>
      <c r="G18" s="2"/>
      <c r="H18" s="2"/>
      <c r="I18" s="20" t="s">
        <v>8</v>
      </c>
      <c r="J18" s="30">
        <f>FV($D$17,$B26*12,$D$15*-1)</f>
        <v>1417749.9841223215</v>
      </c>
      <c r="K18" s="31">
        <f>J18*$D$6</f>
        <v>8506.4999047339297</v>
      </c>
      <c r="L18" s="2"/>
      <c r="M18" s="2"/>
      <c r="N18" s="2"/>
    </row>
    <row r="19" spans="1:14" ht="22.5" thickBot="1" x14ac:dyDescent="0.5">
      <c r="A19" s="2"/>
      <c r="B19" s="2"/>
      <c r="C19" s="24" t="s">
        <v>3</v>
      </c>
      <c r="D19" s="25">
        <f>D18*D6</f>
        <v>1839.2286467281017</v>
      </c>
      <c r="E19" s="2"/>
      <c r="F19" s="2"/>
      <c r="G19" s="2"/>
      <c r="H19" s="2"/>
      <c r="I19" s="24" t="s">
        <v>9</v>
      </c>
      <c r="J19" s="32">
        <f>FV($D$17,$B27*12,$D$15*-1)</f>
        <v>5445933.7653059401</v>
      </c>
      <c r="K19" s="33">
        <f>J19*$D$6</f>
        <v>32675.602591835643</v>
      </c>
      <c r="L19" s="2"/>
      <c r="M19" s="2"/>
      <c r="N19" s="2"/>
    </row>
    <row r="20" spans="1:14" ht="18" thickTop="1" x14ac:dyDescent="0.35">
      <c r="A20" s="2"/>
      <c r="B20" s="2"/>
      <c r="C20" s="2"/>
      <c r="D20" s="2"/>
      <c r="E20" s="2"/>
      <c r="F20" s="2"/>
      <c r="G20" s="2"/>
      <c r="H20" s="2"/>
      <c r="L20" s="2"/>
      <c r="M20" s="2"/>
      <c r="N20" s="2"/>
    </row>
    <row r="21" spans="1:14" ht="17.25" x14ac:dyDescent="0.35">
      <c r="A21" s="2"/>
      <c r="B21" s="2"/>
      <c r="C21" s="2"/>
      <c r="D21" s="2"/>
      <c r="E21" s="2"/>
      <c r="F21" s="2"/>
      <c r="G21" s="2"/>
      <c r="H21" s="2"/>
      <c r="L21" s="2"/>
      <c r="M21" s="2"/>
      <c r="N21" s="2"/>
    </row>
    <row r="22" spans="1:14" ht="18" thickBot="1" x14ac:dyDescent="0.4">
      <c r="A22" s="2"/>
      <c r="B22" s="2"/>
      <c r="F22" s="2"/>
      <c r="G22" s="2"/>
      <c r="H22" s="2"/>
      <c r="L22" s="2"/>
      <c r="M22" s="2"/>
      <c r="N22" s="2"/>
    </row>
    <row r="23" spans="1:14" ht="31.5" x14ac:dyDescent="0.6">
      <c r="A23" s="2"/>
      <c r="B23" s="3">
        <v>2</v>
      </c>
      <c r="F23" s="2"/>
      <c r="G23" s="2"/>
      <c r="H23" s="2"/>
      <c r="I23" s="53" t="s">
        <v>34</v>
      </c>
      <c r="J23" s="54"/>
      <c r="K23" s="55"/>
      <c r="L23" s="2"/>
      <c r="M23" s="2"/>
      <c r="N23" s="2"/>
    </row>
    <row r="24" spans="1:14" ht="23.25" x14ac:dyDescent="0.45">
      <c r="A24" s="2"/>
      <c r="B24" s="3">
        <v>5</v>
      </c>
      <c r="F24" s="2"/>
      <c r="G24" s="2"/>
      <c r="H24" s="2"/>
      <c r="I24" s="44" t="s">
        <v>35</v>
      </c>
      <c r="J24" s="26" t="s">
        <v>36</v>
      </c>
      <c r="K24" s="45" t="s">
        <v>37</v>
      </c>
      <c r="L24" s="2"/>
      <c r="M24" s="2"/>
      <c r="N24" s="2"/>
    </row>
    <row r="25" spans="1:14" ht="21.75" x14ac:dyDescent="0.45">
      <c r="A25" s="2"/>
      <c r="B25" s="3">
        <v>10</v>
      </c>
      <c r="F25" s="2"/>
      <c r="G25" s="2"/>
      <c r="H25" s="2"/>
      <c r="I25" s="34"/>
      <c r="J25" s="28"/>
      <c r="K25" s="36"/>
      <c r="L25" s="2"/>
      <c r="M25" s="2"/>
      <c r="N25" s="2"/>
    </row>
    <row r="26" spans="1:14" ht="21.75" x14ac:dyDescent="0.45">
      <c r="A26" s="2"/>
      <c r="B26" s="3">
        <v>20</v>
      </c>
      <c r="F26" s="2"/>
      <c r="G26" s="2"/>
      <c r="H26" s="2"/>
      <c r="I26" s="35"/>
      <c r="J26" s="30"/>
      <c r="K26" s="37"/>
      <c r="L26" s="2"/>
      <c r="M26" s="2"/>
      <c r="N26" s="2"/>
    </row>
    <row r="27" spans="1:14" ht="21.75" x14ac:dyDescent="0.45">
      <c r="A27" s="2"/>
      <c r="B27" s="3">
        <v>30</v>
      </c>
      <c r="F27" s="2"/>
      <c r="G27" s="2"/>
      <c r="H27" s="2"/>
      <c r="I27" s="35"/>
      <c r="J27" s="30"/>
      <c r="K27" s="37"/>
      <c r="L27" s="2"/>
      <c r="M27" s="2"/>
      <c r="N27" s="2"/>
    </row>
    <row r="28" spans="1:14" ht="21.75" x14ac:dyDescent="0.45">
      <c r="A28" s="2"/>
      <c r="B28" s="2"/>
      <c r="C28" s="2"/>
      <c r="D28" s="2"/>
      <c r="E28" s="2"/>
      <c r="F28" s="2"/>
      <c r="G28" s="2"/>
      <c r="H28" s="2"/>
      <c r="I28" s="35"/>
      <c r="J28" s="30"/>
      <c r="K28" s="37"/>
      <c r="L28" s="2"/>
      <c r="M28" s="2"/>
      <c r="N28" s="2"/>
    </row>
    <row r="29" spans="1:14" ht="21.75" x14ac:dyDescent="0.45">
      <c r="A29" s="2"/>
      <c r="B29" s="2"/>
      <c r="C29" s="2"/>
      <c r="D29" s="2"/>
      <c r="E29" s="2"/>
      <c r="F29" s="2"/>
      <c r="G29" s="2"/>
      <c r="H29" s="2"/>
      <c r="I29" s="38"/>
      <c r="J29" s="39"/>
      <c r="K29" s="40"/>
      <c r="L29" s="2"/>
      <c r="M29" s="2"/>
      <c r="N29" s="2"/>
    </row>
    <row r="30" spans="1:14" ht="17.2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7.2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7.2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7.2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7.2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7.2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7.2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7.2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7.2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7.2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7.2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7.2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7.2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</sheetData>
  <mergeCells count="6">
    <mergeCell ref="C1:I1"/>
    <mergeCell ref="I23:K23"/>
    <mergeCell ref="I3:M3"/>
    <mergeCell ref="C14:D14"/>
    <mergeCell ref="C3:D3"/>
    <mergeCell ref="I14:J14"/>
  </mergeCells>
  <dataValidations count="2">
    <dataValidation type="list" allowBlank="1" showInputMessage="1" showErrorMessage="1" sqref="D8" xr:uid="{CFA5F8C6-F9AF-47B2-B2DF-2D88DE4C7A6C}">
      <formula1>"Conservador,Moderado,Agressivo"</formula1>
    </dataValidation>
    <dataValidation type="list" allowBlank="1" showInputMessage="1" showErrorMessage="1" sqref="J25:J29" xr:uid="{C31B7CCC-0E25-445A-9A27-5FC04088694D}">
      <formula1>$I$5:$I$10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C238-BFC9-4578-B0F6-04941F93687B}">
  <dimension ref="A1:G19"/>
  <sheetViews>
    <sheetView workbookViewId="0">
      <selection activeCell="B6" sqref="B6"/>
    </sheetView>
  </sheetViews>
  <sheetFormatPr defaultRowHeight="15" x14ac:dyDescent="0.25"/>
  <cols>
    <col min="1" max="1" width="28.42578125" bestFit="1" customWidth="1"/>
    <col min="2" max="2" width="12.140625" bestFit="1" customWidth="1"/>
    <col min="3" max="3" width="16.140625" bestFit="1" customWidth="1"/>
    <col min="4" max="4" width="10.42578125" bestFit="1" customWidth="1"/>
    <col min="6" max="6" width="15.85546875" bestFit="1" customWidth="1"/>
  </cols>
  <sheetData>
    <row r="1" spans="1:7" x14ac:dyDescent="0.25">
      <c r="A1" s="6" t="s">
        <v>26</v>
      </c>
      <c r="B1" s="6" t="s">
        <v>12</v>
      </c>
      <c r="C1" s="6" t="s">
        <v>23</v>
      </c>
      <c r="D1" s="6" t="s">
        <v>25</v>
      </c>
    </row>
    <row r="2" spans="1:7" x14ac:dyDescent="0.25">
      <c r="A2" t="str">
        <f>B2&amp;"-"&amp;C2</f>
        <v>Conservador-Papel</v>
      </c>
      <c r="B2" t="s">
        <v>14</v>
      </c>
      <c r="C2" t="s">
        <v>16</v>
      </c>
      <c r="D2" s="1">
        <v>0.5</v>
      </c>
    </row>
    <row r="3" spans="1:7" x14ac:dyDescent="0.25">
      <c r="A3" t="str">
        <f t="shared" ref="A3:A19" si="0">B3&amp;"-"&amp;C3</f>
        <v>Conservador-Tijolo</v>
      </c>
      <c r="B3" t="s">
        <v>14</v>
      </c>
      <c r="C3" t="s">
        <v>17</v>
      </c>
      <c r="D3" s="1">
        <v>0.3</v>
      </c>
    </row>
    <row r="4" spans="1:7" x14ac:dyDescent="0.25">
      <c r="A4" t="str">
        <f t="shared" si="0"/>
        <v>Conservador-Híbridos</v>
      </c>
      <c r="B4" t="s">
        <v>14</v>
      </c>
      <c r="C4" t="s">
        <v>18</v>
      </c>
      <c r="D4" s="1">
        <v>0.1</v>
      </c>
      <c r="G4" s="1"/>
    </row>
    <row r="5" spans="1:7" x14ac:dyDescent="0.25">
      <c r="A5" t="str">
        <f t="shared" si="0"/>
        <v>Conservador-FOFs</v>
      </c>
      <c r="B5" t="s">
        <v>14</v>
      </c>
      <c r="C5" t="s">
        <v>19</v>
      </c>
      <c r="D5" s="1">
        <v>0.1</v>
      </c>
    </row>
    <row r="6" spans="1:7" x14ac:dyDescent="0.25">
      <c r="A6" t="str">
        <f t="shared" si="0"/>
        <v>Conservador-Desenvolvimento</v>
      </c>
      <c r="B6" t="s">
        <v>14</v>
      </c>
      <c r="C6" t="s">
        <v>20</v>
      </c>
      <c r="D6" s="1">
        <v>0</v>
      </c>
    </row>
    <row r="7" spans="1:7" ht="15.75" thickBot="1" x14ac:dyDescent="0.3">
      <c r="A7" s="7" t="str">
        <f t="shared" si="0"/>
        <v>Conservador-Hotelarias</v>
      </c>
      <c r="B7" s="7" t="s">
        <v>14</v>
      </c>
      <c r="C7" s="7" t="s">
        <v>21</v>
      </c>
      <c r="D7" s="8">
        <v>0</v>
      </c>
    </row>
    <row r="8" spans="1:7" ht="15.75" thickTop="1" x14ac:dyDescent="0.25">
      <c r="A8" t="str">
        <f>B8&amp;"-"&amp;C8</f>
        <v>Moderado-Papel</v>
      </c>
      <c r="B8" t="s">
        <v>13</v>
      </c>
      <c r="C8" t="s">
        <v>16</v>
      </c>
      <c r="D8" s="1">
        <v>0.4</v>
      </c>
    </row>
    <row r="9" spans="1:7" x14ac:dyDescent="0.25">
      <c r="A9" t="str">
        <f t="shared" si="0"/>
        <v>Moderado-Tijolo</v>
      </c>
      <c r="B9" t="s">
        <v>13</v>
      </c>
      <c r="C9" t="s">
        <v>17</v>
      </c>
      <c r="D9" s="1">
        <v>0.35</v>
      </c>
    </row>
    <row r="10" spans="1:7" x14ac:dyDescent="0.25">
      <c r="A10" t="str">
        <f t="shared" si="0"/>
        <v>Moderado-Híbridos</v>
      </c>
      <c r="B10" t="s">
        <v>13</v>
      </c>
      <c r="C10" t="s">
        <v>18</v>
      </c>
      <c r="D10" s="1">
        <v>0.1</v>
      </c>
    </row>
    <row r="11" spans="1:7" x14ac:dyDescent="0.25">
      <c r="A11" t="str">
        <f t="shared" si="0"/>
        <v>Moderado-FOFs</v>
      </c>
      <c r="B11" t="s">
        <v>13</v>
      </c>
      <c r="C11" t="s">
        <v>19</v>
      </c>
      <c r="D11" s="1">
        <v>0.05</v>
      </c>
    </row>
    <row r="12" spans="1:7" x14ac:dyDescent="0.25">
      <c r="A12" t="str">
        <f t="shared" si="0"/>
        <v>Moderado-Desenvolvimento</v>
      </c>
      <c r="B12" t="s">
        <v>13</v>
      </c>
      <c r="C12" t="s">
        <v>20</v>
      </c>
      <c r="D12" s="1">
        <v>0.05</v>
      </c>
    </row>
    <row r="13" spans="1:7" ht="15.75" thickBot="1" x14ac:dyDescent="0.3">
      <c r="A13" s="7" t="str">
        <f t="shared" si="0"/>
        <v>Moderado-Hotelarias</v>
      </c>
      <c r="B13" s="7" t="s">
        <v>13</v>
      </c>
      <c r="C13" s="7" t="s">
        <v>21</v>
      </c>
      <c r="D13" s="8">
        <v>0.05</v>
      </c>
    </row>
    <row r="14" spans="1:7" ht="15.75" thickTop="1" x14ac:dyDescent="0.25">
      <c r="A14" t="str">
        <f t="shared" si="0"/>
        <v>Agressivo-Papel</v>
      </c>
      <c r="B14" t="s">
        <v>24</v>
      </c>
      <c r="C14" t="s">
        <v>16</v>
      </c>
      <c r="D14" s="1">
        <v>0.3</v>
      </c>
    </row>
    <row r="15" spans="1:7" x14ac:dyDescent="0.25">
      <c r="A15" t="str">
        <f t="shared" si="0"/>
        <v>Agressivo-Tijolo</v>
      </c>
      <c r="B15" t="s">
        <v>24</v>
      </c>
      <c r="C15" t="s">
        <v>17</v>
      </c>
      <c r="D15" s="1">
        <v>0.4</v>
      </c>
    </row>
    <row r="16" spans="1:7" x14ac:dyDescent="0.25">
      <c r="A16" t="str">
        <f t="shared" si="0"/>
        <v>Agressivo-Híbridos</v>
      </c>
      <c r="B16" t="s">
        <v>24</v>
      </c>
      <c r="C16" t="s">
        <v>18</v>
      </c>
      <c r="D16" s="1">
        <v>0.05</v>
      </c>
    </row>
    <row r="17" spans="1:4" x14ac:dyDescent="0.25">
      <c r="A17" t="str">
        <f t="shared" si="0"/>
        <v>Agressivo-FOFs</v>
      </c>
      <c r="B17" t="s">
        <v>24</v>
      </c>
      <c r="C17" t="s">
        <v>19</v>
      </c>
      <c r="D17" s="1">
        <v>0.1</v>
      </c>
    </row>
    <row r="18" spans="1:4" x14ac:dyDescent="0.25">
      <c r="A18" t="str">
        <f t="shared" si="0"/>
        <v>Agressivo-Desenvolvimento</v>
      </c>
      <c r="B18" t="s">
        <v>24</v>
      </c>
      <c r="C18" t="s">
        <v>20</v>
      </c>
      <c r="D18" s="1">
        <v>0.1</v>
      </c>
    </row>
    <row r="19" spans="1:4" x14ac:dyDescent="0.25">
      <c r="A19" t="str">
        <f t="shared" si="0"/>
        <v>Agressivo-Hotelarias</v>
      </c>
      <c r="B19" t="s">
        <v>24</v>
      </c>
      <c r="C19" t="s">
        <v>21</v>
      </c>
      <c r="D19" s="1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Planilha1</vt:lpstr>
      <vt:lpstr>Planilha Auxiliar</vt:lpstr>
      <vt:lpstr>aporte</vt:lpstr>
      <vt:lpstr>qtde_anos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 - Rafael Garcia Trigo</dc:creator>
  <cp:lastModifiedBy>EA - Rafael Garcia Trigo</cp:lastModifiedBy>
  <dcterms:created xsi:type="dcterms:W3CDTF">2026-01-02T20:07:11Z</dcterms:created>
  <dcterms:modified xsi:type="dcterms:W3CDTF">2026-01-05T22:21:05Z</dcterms:modified>
</cp:coreProperties>
</file>